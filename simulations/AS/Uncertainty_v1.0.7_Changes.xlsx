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1.0.7 Changes" sheetId="1" state="visible" r:id="rId3"/>
    <sheet name="Box Widths" sheetId="2" state="visible" r:id="rId4"/>
    <sheet name="Example 2 Workin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4" authorId="0">
      <text>
        <r>
          <rPr>
            <sz val="10"/>
            <rFont val="Arial"/>
            <family val="2"/>
          </rPr>
          <t xml:space="preserve">Text copied from the sim RESULT card (v1.0.7). Value rounded at the hundreds place, written in standard form.</t>
        </r>
      </text>
    </comment>
    <comment ref="C14" authorId="0">
      <text>
        <r>
          <rPr>
            <sz val="10"/>
            <rFont val="Arial"/>
            <family val="2"/>
          </rPr>
          <t xml:space="preserve">Text copied from the sim RESULT card (v1.0.7). Δ would be 0.00 at 3 s.f., so the place widens to keep its first figure.</t>
        </r>
      </text>
    </comment>
  </commentList>
</comments>
</file>

<file path=xl/sharedStrings.xml><?xml version="1.0" encoding="utf-8"?>
<sst xmlns="http://schemas.openxmlformats.org/spreadsheetml/2006/main" count="99" uniqueCount="91">
  <si>
    <t xml:space="preserve">Uncertainty &amp; Significant Figures — v1.0.7 change log</t>
  </si>
  <si>
    <t xml:space="preserve">File: AS_CH0_Fundamental_2_Uncertainty_and_Significant_Figures.html · Mode 2 → Operators</t>
  </si>
  <si>
    <t xml:space="preserve">#</t>
  </si>
  <si>
    <t xml:space="preserve">Request</t>
  </si>
  <si>
    <t xml:space="preserve">Area</t>
  </si>
  <si>
    <t xml:space="preserve">Before</t>
  </si>
  <si>
    <t xml:space="preserve">After</t>
  </si>
  <si>
    <t xml:space="preserve">Note</t>
  </si>
  <si>
    <t xml:space="preserve">Box widths (requested)</t>
  </si>
  <si>
    <t xml:space="preserve">Input boxes</t>
  </si>
  <si>
    <t xml:space="preserve">300 px wide</t>
  </si>
  <si>
    <t xml:space="preserve">280 px wide</t>
  </si>
  <si>
    <t xml:space="preserve">Text fits with comfortable margin</t>
  </si>
  <si>
    <t xml:space="preserve">Operator box</t>
  </si>
  <si>
    <t xml:space="preserve">240 px — "Add the PERCENTAGE uncertainties" touched the edges</t>
  </si>
  <si>
    <t xml:space="preserve">320 px — clear space on both sides</t>
  </si>
  <si>
    <t xml:space="preserve">Symbol and name centred in the box</t>
  </si>
  <si>
    <t xml:space="preserve">Result box</t>
  </si>
  <si>
    <t xml:space="preserve">492 px — lots of empty space</t>
  </si>
  <si>
    <t xml:space="preserve">456 px — sized to its text</t>
  </si>
  <si>
    <t xml:space="preserve">Detail on sheet "Box Widths"</t>
  </si>
  <si>
    <t xml:space="preserve">Hints default (requested)</t>
  </si>
  <si>
    <t xml:space="preserve">SHOW → 💬 Hints</t>
  </si>
  <si>
    <t xml:space="preserve">On when the page opens</t>
  </si>
  <si>
    <t xml:space="preserve">Off when the page opens</t>
  </si>
  <si>
    <t xml:space="preserve">Press 💬 Hints to show the corner notes</t>
  </si>
  <si>
    <t xml:space="preserve">Example 2 powers (requested)</t>
  </si>
  <si>
    <t xml:space="preserve">Toolbar + canvas chips</t>
  </si>
  <si>
    <t xml:space="preserve">x² and √x</t>
  </si>
  <si>
    <t xml:space="preserve">x³ and ∛x</t>
  </si>
  <si>
    <t xml:space="preserve">Other examples keep x² and √x</t>
  </si>
  <si>
    <t xml:space="preserve">Operator box (x³)</t>
  </si>
  <si>
    <t xml:space="preserve">Square · Percentage × 2</t>
  </si>
  <si>
    <t xml:space="preserve">Cube · Percentage × 3</t>
  </si>
  <si>
    <t xml:space="preserve">Formula %R = 3 × %A</t>
  </si>
  <si>
    <t xml:space="preserve">Operator box (∛x)</t>
  </si>
  <si>
    <t xml:space="preserve">Square root · Percentage × ½</t>
  </si>
  <si>
    <t xml:space="preserve">Cube root · Percentage × ⅓</t>
  </si>
  <si>
    <t xml:space="preserve">Formula %R = ⅓ × %A</t>
  </si>
  <si>
    <t xml:space="preserve">Side panel</t>
  </si>
  <si>
    <t xml:space="preserve">(24.3)², √24.3</t>
  </si>
  <si>
    <t xml:space="preserve">(24.3)³, ∛24.3</t>
  </si>
  <si>
    <t xml:space="preserve">Calculate tab follows the power</t>
  </si>
  <si>
    <t xml:space="preserve">Extra (not requested)</t>
  </si>
  <si>
    <t xml:space="preserve">Result / Mark-scheme / Report</t>
  </si>
  <si>
    <t xml:space="preserve">Large results written in full, e.g. 14300 ± 200</t>
  </si>
  <si>
    <t xml:space="preserve">(a ± b) × 10ⁿ, e.g. (1.43 ± 0.02) × 10⁴ cm³</t>
  </si>
  <si>
    <t xml:space="preserve">Applies to very large or very small results</t>
  </si>
  <si>
    <t xml:space="preserve">calculator value</t>
  </si>
  <si>
    <t xml:space="preserve">Could round integer digits, e.g. 14350</t>
  </si>
  <si>
    <t xml:space="preserve">All integer digits kept, e.g. 14349</t>
  </si>
  <si>
    <t xml:space="preserve">keep s.f. box</t>
  </si>
  <si>
    <t xml:space="preserve">Boxed by s.f. count only</t>
  </si>
  <si>
    <t xml:space="preserve">Boxes digits down to the reported place</t>
  </si>
  <si>
    <t xml:space="preserve">∛x boxes all of 2.896</t>
  </si>
  <si>
    <t xml:space="preserve">Fractional-power units</t>
  </si>
  <si>
    <t xml:space="preserve">cm⅓</t>
  </si>
  <si>
    <t xml:space="preserve">cm^(1/3) as a real superscript</t>
  </si>
  <si>
    <t xml:space="preserve">Testing</t>
  </si>
  <si>
    <t xml:space="preserve">verify.py</t>
  </si>
  <si>
    <t xml:space="preserve">—</t>
  </si>
  <si>
    <t xml:space="preserve">ALL CHECKS PASSED</t>
  </si>
  <si>
    <t xml:space="preserve">Device file badge v1.0.7</t>
  </si>
  <si>
    <t xml:space="preserve">Middle-row box widths (logical canvas px, canvas = 1200 × 675)</t>
  </si>
  <si>
    <t xml:space="preserve">Box</t>
  </si>
  <si>
    <t xml:space="preserve">Before (px)</t>
  </si>
  <si>
    <t xml:space="preserve">After (px)</t>
  </si>
  <si>
    <t xml:space="preserve">Change (px)</t>
  </si>
  <si>
    <t xml:space="preserve">Share of row after</t>
  </si>
  <si>
    <t xml:space="preserve">Input</t>
  </si>
  <si>
    <t xml:space="preserve">Operator</t>
  </si>
  <si>
    <t xml:space="preserve">Result</t>
  </si>
  <si>
    <t xml:space="preserve">Total</t>
  </si>
  <si>
    <t xml:space="preserve">Blue numbers = widths taken from the sim code (draw2.js, drawOps). Gaps for the pipes: 48 px between boxes.</t>
  </si>
  <si>
    <t xml:space="preserve">Example 2 — A = (24.3 ± 0.1) cm: cube and cube root, lecture method</t>
  </si>
  <si>
    <t xml:space="preserve">Inputs (edit the blue cells)</t>
  </si>
  <si>
    <t xml:space="preserve">A (cm)</t>
  </si>
  <si>
    <t xml:space="preserve">ΔA (cm)</t>
  </si>
  <si>
    <t xml:space="preserve">%A (2 s.f.)</t>
  </si>
  <si>
    <t xml:space="preserve">Rounded to 2 s.f., as the sim does</t>
  </si>
  <si>
    <t xml:space="preserve">Step</t>
  </si>
  <si>
    <t xml:space="preserve">x³ (Cube)</t>
  </si>
  <si>
    <t xml:space="preserve">∛x (Cube root)</t>
  </si>
  <si>
    <t xml:space="preserve">Power n</t>
  </si>
  <si>
    <t xml:space="preserve">Calculator value</t>
  </si>
  <si>
    <t xml:space="preserve">Total % = n × %A</t>
  </si>
  <si>
    <t xml:space="preserve">Δ = (% / 100) × value</t>
  </si>
  <si>
    <t xml:space="preserve">Δ to 1 s.f.</t>
  </si>
  <si>
    <t xml:space="preserve">Reported (lecture, 3 s.f. → place)</t>
  </si>
  <si>
    <t xml:space="preserve">(1.43 ± 0.02) × 10⁴ cm³</t>
  </si>
  <si>
    <t xml:space="preserve">2.896 ± 0.004 cm^(1/3)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</si>
</sst>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\+0;\-0;0"/>
    <numFmt numFmtId="167" formatCode="0.0%"/>
    <numFmt numFmtId="168" formatCode="0.00\%"/>
    <numFmt numFmtId="169" formatCode="0.000"/>
    <numFmt numFmtId="170" formatCode="0.0"/>
    <numFmt numFmtId="171" formatCode="0.0000"/>
    <numFmt numFmtId="172" formatCode="0.0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6"/>
    <col collapsed="false" customWidth="true" hidden="false" outlineLevel="0" max="5" min="4" style="0" width="40"/>
    <col collapsed="false" customWidth="true" hidden="false" outlineLevel="0" max="6" min="6" style="0" width="3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n">
        <v>1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</row>
    <row r="6" customFormat="false" ht="26.85" hidden="false" customHeight="false" outlineLevel="0" collapsed="false">
      <c r="A6" s="4" t="n">
        <v>2</v>
      </c>
      <c r="B6" s="4" t="s">
        <v>8</v>
      </c>
      <c r="C6" s="4" t="s">
        <v>13</v>
      </c>
      <c r="D6" s="4" t="s">
        <v>14</v>
      </c>
      <c r="E6" s="4" t="s">
        <v>15</v>
      </c>
      <c r="F6" s="4" t="s">
        <v>16</v>
      </c>
    </row>
    <row r="7" customFormat="false" ht="15" hidden="false" customHeight="false" outlineLevel="0" collapsed="false">
      <c r="A7" s="4" t="n">
        <v>3</v>
      </c>
      <c r="B7" s="4" t="s">
        <v>8</v>
      </c>
      <c r="C7" s="4" t="s">
        <v>17</v>
      </c>
      <c r="D7" s="4" t="s">
        <v>18</v>
      </c>
      <c r="E7" s="4" t="s">
        <v>19</v>
      </c>
      <c r="F7" s="4" t="s">
        <v>20</v>
      </c>
    </row>
    <row r="8" customFormat="false" ht="26.85" hidden="false" customHeight="false" outlineLevel="0" collapsed="false">
      <c r="A8" s="4" t="n">
        <v>4</v>
      </c>
      <c r="B8" s="4" t="s">
        <v>21</v>
      </c>
      <c r="C8" s="4" t="s">
        <v>22</v>
      </c>
      <c r="D8" s="4" t="s">
        <v>23</v>
      </c>
      <c r="E8" s="4" t="s">
        <v>24</v>
      </c>
      <c r="F8" s="4" t="s">
        <v>25</v>
      </c>
    </row>
    <row r="9" customFormat="false" ht="26.85" hidden="false" customHeight="false" outlineLevel="0" collapsed="false">
      <c r="A9" s="4" t="n">
        <v>5</v>
      </c>
      <c r="B9" s="4" t="s">
        <v>26</v>
      </c>
      <c r="C9" s="4" t="s">
        <v>27</v>
      </c>
      <c r="D9" s="4" t="s">
        <v>28</v>
      </c>
      <c r="E9" s="4" t="s">
        <v>29</v>
      </c>
      <c r="F9" s="4" t="s">
        <v>30</v>
      </c>
    </row>
    <row r="10" customFormat="false" ht="26.85" hidden="false" customHeight="false" outlineLevel="0" collapsed="false">
      <c r="A10" s="4" t="n">
        <v>6</v>
      </c>
      <c r="B10" s="4" t="s">
        <v>26</v>
      </c>
      <c r="C10" s="4" t="s">
        <v>31</v>
      </c>
      <c r="D10" s="4" t="s">
        <v>32</v>
      </c>
      <c r="E10" s="4" t="s">
        <v>33</v>
      </c>
      <c r="F10" s="4" t="s">
        <v>34</v>
      </c>
    </row>
    <row r="11" customFormat="false" ht="26.85" hidden="false" customHeight="false" outlineLevel="0" collapsed="false">
      <c r="A11" s="4" t="n">
        <v>7</v>
      </c>
      <c r="B11" s="4" t="s">
        <v>26</v>
      </c>
      <c r="C11" s="4" t="s">
        <v>35</v>
      </c>
      <c r="D11" s="4" t="s">
        <v>36</v>
      </c>
      <c r="E11" s="4" t="s">
        <v>37</v>
      </c>
      <c r="F11" s="4" t="s">
        <v>38</v>
      </c>
    </row>
    <row r="12" customFormat="false" ht="26.85" hidden="false" customHeight="false" outlineLevel="0" collapsed="false">
      <c r="A12" s="4" t="n">
        <v>8</v>
      </c>
      <c r="B12" s="4" t="s">
        <v>26</v>
      </c>
      <c r="C12" s="4" t="s">
        <v>39</v>
      </c>
      <c r="D12" s="4" t="s">
        <v>40</v>
      </c>
      <c r="E12" s="4" t="s">
        <v>41</v>
      </c>
      <c r="F12" s="4" t="s">
        <v>42</v>
      </c>
    </row>
    <row r="13" customFormat="false" ht="26.85" hidden="false" customHeight="false" outlineLevel="0" collapsed="false">
      <c r="A13" s="4" t="n">
        <v>9</v>
      </c>
      <c r="B13" s="4" t="s">
        <v>43</v>
      </c>
      <c r="C13" s="4" t="s">
        <v>44</v>
      </c>
      <c r="D13" s="4" t="s">
        <v>45</v>
      </c>
      <c r="E13" s="4" t="s">
        <v>46</v>
      </c>
      <c r="F13" s="4" t="s">
        <v>47</v>
      </c>
    </row>
    <row r="14" customFormat="false" ht="15" hidden="false" customHeight="false" outlineLevel="0" collapsed="false">
      <c r="A14" s="4" t="n">
        <v>10</v>
      </c>
      <c r="B14" s="4" t="s">
        <v>43</v>
      </c>
      <c r="C14" s="4" t="s">
        <v>48</v>
      </c>
      <c r="D14" s="4" t="s">
        <v>49</v>
      </c>
      <c r="E14" s="4" t="s">
        <v>50</v>
      </c>
      <c r="F14" s="4"/>
    </row>
    <row r="15" customFormat="false" ht="15" hidden="false" customHeight="false" outlineLevel="0" collapsed="false">
      <c r="A15" s="4" t="n">
        <v>11</v>
      </c>
      <c r="B15" s="4" t="s">
        <v>43</v>
      </c>
      <c r="C15" s="4" t="s">
        <v>51</v>
      </c>
      <c r="D15" s="4" t="s">
        <v>52</v>
      </c>
      <c r="E15" s="4" t="s">
        <v>53</v>
      </c>
      <c r="F15" s="4" t="s">
        <v>54</v>
      </c>
    </row>
    <row r="16" customFormat="false" ht="15" hidden="false" customHeight="false" outlineLevel="0" collapsed="false">
      <c r="A16" s="4" t="n">
        <v>12</v>
      </c>
      <c r="B16" s="4" t="s">
        <v>43</v>
      </c>
      <c r="C16" s="4" t="s">
        <v>55</v>
      </c>
      <c r="D16" s="4" t="s">
        <v>56</v>
      </c>
      <c r="E16" s="4" t="s">
        <v>57</v>
      </c>
      <c r="F16" s="4"/>
    </row>
    <row r="17" customFormat="false" ht="15" hidden="false" customHeight="false" outlineLevel="0" collapsed="false">
      <c r="A17" s="4" t="n">
        <v>13</v>
      </c>
      <c r="B17" s="4" t="s">
        <v>58</v>
      </c>
      <c r="C17" s="4" t="s">
        <v>59</v>
      </c>
      <c r="D17" s="4" t="s">
        <v>60</v>
      </c>
      <c r="E17" s="4" t="s">
        <v>61</v>
      </c>
      <c r="F17" s="4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4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1" t="s">
        <v>63</v>
      </c>
    </row>
    <row r="3" customFormat="false" ht="15" hidden="false" customHeight="false" outlineLevel="0" collapsed="false">
      <c r="A3" s="3" t="s">
        <v>64</v>
      </c>
      <c r="B3" s="3" t="s">
        <v>65</v>
      </c>
      <c r="C3" s="3" t="s">
        <v>66</v>
      </c>
      <c r="D3" s="3" t="s">
        <v>67</v>
      </c>
      <c r="E3" s="3" t="s">
        <v>68</v>
      </c>
    </row>
    <row r="4" customFormat="false" ht="15" hidden="false" customHeight="false" outlineLevel="0" collapsed="false">
      <c r="A4" s="5" t="s">
        <v>69</v>
      </c>
      <c r="B4" s="6" t="n">
        <v>300</v>
      </c>
      <c r="C4" s="6" t="n">
        <v>280</v>
      </c>
      <c r="D4" s="7" t="n">
        <f aca="false">C4-B4</f>
        <v>-20</v>
      </c>
      <c r="E4" s="8" t="n">
        <f aca="false">C4/C$7</f>
        <v>0.265151515151515</v>
      </c>
    </row>
    <row r="5" customFormat="false" ht="15" hidden="false" customHeight="false" outlineLevel="0" collapsed="false">
      <c r="A5" s="5" t="s">
        <v>70</v>
      </c>
      <c r="B5" s="6" t="n">
        <v>240</v>
      </c>
      <c r="C5" s="6" t="n">
        <v>320</v>
      </c>
      <c r="D5" s="7" t="n">
        <f aca="false">C5-B5</f>
        <v>80</v>
      </c>
      <c r="E5" s="8" t="n">
        <f aca="false">C5/C$7</f>
        <v>0.303030303030303</v>
      </c>
    </row>
    <row r="6" customFormat="false" ht="15" hidden="false" customHeight="false" outlineLevel="0" collapsed="false">
      <c r="A6" s="5" t="s">
        <v>71</v>
      </c>
      <c r="B6" s="6" t="n">
        <v>492</v>
      </c>
      <c r="C6" s="6" t="n">
        <v>456</v>
      </c>
      <c r="D6" s="7" t="n">
        <f aca="false">C6-B6</f>
        <v>-36</v>
      </c>
      <c r="E6" s="8" t="n">
        <f aca="false">C6/C$7</f>
        <v>0.431818181818182</v>
      </c>
    </row>
    <row r="7" customFormat="false" ht="15" hidden="false" customHeight="false" outlineLevel="0" collapsed="false">
      <c r="A7" s="9" t="s">
        <v>72</v>
      </c>
      <c r="B7" s="10" t="n">
        <f aca="false">SUM(B4:B6)</f>
        <v>1032</v>
      </c>
      <c r="C7" s="10" t="n">
        <f aca="false">SUM(C4:C6)</f>
        <v>1056</v>
      </c>
      <c r="D7" s="11" t="n">
        <f aca="false">SUM(D4:D6)</f>
        <v>24</v>
      </c>
      <c r="E7" s="12" t="n">
        <f aca="false">SUM(E4:E6)</f>
        <v>1</v>
      </c>
    </row>
    <row r="9" customFormat="false" ht="15" hidden="false" customHeight="false" outlineLevel="0" collapsed="false">
      <c r="A9" s="2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26"/>
  </cols>
  <sheetData>
    <row r="1" customFormat="false" ht="17.35" hidden="false" customHeight="false" outlineLevel="0" collapsed="false">
      <c r="A1" s="1" t="s">
        <v>74</v>
      </c>
    </row>
    <row r="3" customFormat="false" ht="15" hidden="false" customHeight="false" outlineLevel="0" collapsed="false">
      <c r="A3" s="13" t="s">
        <v>75</v>
      </c>
    </row>
    <row r="4" customFormat="false" ht="15" hidden="false" customHeight="false" outlineLevel="0" collapsed="false">
      <c r="A4" s="14" t="s">
        <v>76</v>
      </c>
      <c r="B4" s="15" t="n">
        <v>24.3</v>
      </c>
    </row>
    <row r="5" customFormat="false" ht="15" hidden="false" customHeight="false" outlineLevel="0" collapsed="false">
      <c r="A5" s="14" t="s">
        <v>77</v>
      </c>
      <c r="B5" s="15" t="n">
        <v>0.1</v>
      </c>
    </row>
    <row r="6" customFormat="false" ht="15" hidden="false" customHeight="false" outlineLevel="0" collapsed="false">
      <c r="A6" s="14" t="s">
        <v>78</v>
      </c>
      <c r="B6" s="16" t="n">
        <f aca="false">ROUND(B5/B4*100,1-INT(LOG10(ABS(B5/B4*100))))</f>
        <v>0.41</v>
      </c>
      <c r="C6" s="2" t="s">
        <v>79</v>
      </c>
    </row>
    <row r="8" customFormat="false" ht="15" hidden="false" customHeight="false" outlineLevel="0" collapsed="false">
      <c r="A8" s="3" t="s">
        <v>80</v>
      </c>
      <c r="B8" s="3" t="s">
        <v>81</v>
      </c>
      <c r="C8" s="3" t="s">
        <v>82</v>
      </c>
    </row>
    <row r="9" customFormat="false" ht="15" hidden="false" customHeight="false" outlineLevel="0" collapsed="false">
      <c r="A9" s="5" t="s">
        <v>83</v>
      </c>
      <c r="B9" s="17" t="n">
        <v>3</v>
      </c>
      <c r="C9" s="18" t="n">
        <f aca="false">1/3</f>
        <v>0.333333333333333</v>
      </c>
    </row>
    <row r="10" customFormat="false" ht="15" hidden="false" customHeight="false" outlineLevel="0" collapsed="false">
      <c r="A10" s="5" t="s">
        <v>84</v>
      </c>
      <c r="B10" s="19" t="n">
        <f aca="false">B4^B9</f>
        <v>14348.907</v>
      </c>
      <c r="C10" s="20" t="n">
        <f aca="false">B4^C9</f>
        <v>2.89646815381689</v>
      </c>
    </row>
    <row r="11" customFormat="false" ht="15" hidden="false" customHeight="false" outlineLevel="0" collapsed="false">
      <c r="A11" s="5" t="s">
        <v>85</v>
      </c>
      <c r="B11" s="21" t="n">
        <f aca="false">ROUND(B9*$B$6,1-INT(LOG10(ABS(B9*$B$6))))</f>
        <v>1.2</v>
      </c>
      <c r="C11" s="21" t="n">
        <f aca="false">ROUND(C9*$B$6,1-INT(LOG10(ABS(C9*$B$6))))</f>
        <v>0.14</v>
      </c>
    </row>
    <row r="12" customFormat="false" ht="15" hidden="false" customHeight="false" outlineLevel="0" collapsed="false">
      <c r="A12" s="5" t="s">
        <v>86</v>
      </c>
      <c r="B12" s="19" t="n">
        <f aca="false">B11/100*B10</f>
        <v>172.186884</v>
      </c>
      <c r="C12" s="22" t="n">
        <f aca="false">C11/100*C10</f>
        <v>0.00405505541534365</v>
      </c>
    </row>
    <row r="13" customFormat="false" ht="15" hidden="false" customHeight="false" outlineLevel="0" collapsed="false">
      <c r="A13" s="5" t="s">
        <v>87</v>
      </c>
      <c r="B13" s="23" t="n">
        <f aca="false">ROUND(B12,-INT(LOG10(ABS(B12))))</f>
        <v>200</v>
      </c>
      <c r="C13" s="18" t="n">
        <f aca="false">ROUND(C12,-INT(LOG10(ABS(C12))))</f>
        <v>0.004</v>
      </c>
    </row>
    <row r="14" customFormat="false" ht="15" hidden="false" customHeight="false" outlineLevel="0" collapsed="false">
      <c r="A14" s="5" t="s">
        <v>88</v>
      </c>
      <c r="B14" s="5" t="s">
        <v>89</v>
      </c>
      <c r="C14" s="5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2026-10-09T15:52:28Z</dcterms:created>
  <dc:creator>openpyxl</dc:creator>
  <dc:description/>
  <dc:language>en-US</dc:language>
  <cp:lastModifiedBy/>
  <dcterms:modified xsi:type="dcterms:W3CDTF">2026-10-09T15:52:28Z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